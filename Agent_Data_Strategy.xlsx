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ources" sheetId="1" state="visible" r:id="rId3"/>
    <sheet name="Cost Matrix" sheetId="2" state="visible" r:id="rId4"/>
    <sheet name="Running Costs" sheetId="3" state="visible" r:id="rId5"/>
    <sheet name="Compromise vs Spe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<sst xmlns="http://schemas.openxmlformats.org/spreadsheetml/2006/main" count="322" uniqueCount="224">
  <si>
    <t xml:space="preserve">Country</t>
  </si>
  <si>
    <t xml:space="preserve">Priority Tier</t>
  </si>
  <si>
    <t xml:space="preserve">Best Portal / API</t>
  </si>
  <si>
    <t xml:space="preserve">API Type</t>
  </si>
  <si>
    <t xml:space="preserve">Agent Registry</t>
  </si>
  <si>
    <t xml:space="preserve">Registry Access</t>
  </si>
  <si>
    <t xml:space="preserve">Est. Monthly Cost</t>
  </si>
  <si>
    <t xml:space="preserve">Data Quality</t>
  </si>
  <si>
    <t xml:space="preserve">Speed to Deploy</t>
  </si>
  <si>
    <t xml:space="preserve">Notes / Restrictions</t>
  </si>
  <si>
    <t xml:space="preserve">UK</t>
  </si>
  <si>
    <t xml:space="preserve">Tier 1 — Launch</t>
  </si>
  <si>
    <t xml:space="preserve">Reapit + PropertyData</t>
  </si>
  <si>
    <t xml:space="preserve">Official API</t>
  </si>
  <si>
    <t xml:space="preserve">NAEA / Propertymark (voluntary)</t>
  </si>
  <si>
    <t xml:space="preserve">Partnership required</t>
  </si>
  <si>
    <t xml:space="preserve">$200–500</t>
  </si>
  <si>
    <t xml:space="preserve">High</t>
  </si>
  <si>
    <t xml:space="preserve">2–4 weeks</t>
  </si>
  <si>
    <t xml:space="preserve">Agent-gated portals. Reapit needs partner app. Apply Sprint Zero Day 1.</t>
  </si>
  <si>
    <t xml:space="preserve">Germany</t>
  </si>
  <si>
    <t xml:space="preserve">ImmoScout24 API</t>
  </si>
  <si>
    <t xml:space="preserve">IHK registration (§34c GewO)</t>
  </si>
  <si>
    <t xml:space="preserve">Public (local IHK offices)</t>
  </si>
  <si>
    <t xml:space="preserve">$100–400</t>
  </si>
  <si>
    <t xml:space="preserve">1–2 weeks</t>
  </si>
  <si>
    <t xml:space="preserve">Licensed profession. IHK searchable. ImmoScout24 has developer portal.</t>
  </si>
  <si>
    <t xml:space="preserve">Austria</t>
  </si>
  <si>
    <t xml:space="preserve">Tier 2 — Fast follow</t>
  </si>
  <si>
    <t xml:space="preserve">Willhaben.at (scraping)</t>
  </si>
  <si>
    <t xml:space="preserve">Scraping</t>
  </si>
  <si>
    <t xml:space="preserve">Chamber of Commerce (optional)</t>
  </si>
  <si>
    <t xml:space="preserve">Manual lookup</t>
  </si>
  <si>
    <t xml:space="preserve">$50–150</t>
  </si>
  <si>
    <t xml:space="preserve">Medium</t>
  </si>
  <si>
    <t xml:space="preserve">1 week</t>
  </si>
  <si>
    <t xml:space="preserve">No license required. Scraping only — no official API.</t>
  </si>
  <si>
    <t xml:space="preserve">Switzerland</t>
  </si>
  <si>
    <t xml:space="preserve">Homegate.ch (scraping)</t>
  </si>
  <si>
    <t xml:space="preserve">Canton-dependent / FANZ</t>
  </si>
  <si>
    <t xml:space="preserve">$100–200</t>
  </si>
  <si>
    <t xml:space="preserve">Decentralised by canton. FANZ is main professional body.</t>
  </si>
  <si>
    <t xml:space="preserve">Netherlands</t>
  </si>
  <si>
    <t xml:space="preserve">Funda.nl (scraping)</t>
  </si>
  <si>
    <t xml:space="preserve">NVM directory (75% of agents)</t>
  </si>
  <si>
    <t xml:space="preserve">Manual / membership</t>
  </si>
  <si>
    <t xml:space="preserve">NVM agents dominate. No official public API. Funda scrapable.</t>
  </si>
  <si>
    <t xml:space="preserve">France</t>
  </si>
  <si>
    <t xml:space="preserve">Tier 3 — Expansion</t>
  </si>
  <si>
    <t xml:space="preserve">SeLoger (scraping)</t>
  </si>
  <si>
    <t xml:space="preserve">FNAIM + Carte Pro (CCI)</t>
  </si>
  <si>
    <t xml:space="preserve">Public directory</t>
  </si>
  <si>
    <t xml:space="preserve">$100–250</t>
  </si>
  <si>
    <t xml:space="preserve">Medium–High</t>
  </si>
  <si>
    <t xml:space="preserve">2 weeks</t>
  </si>
  <si>
    <t xml:space="preserve">Licensed. FNAIM has searchable directory. Strong anti-bot on SeLoger.</t>
  </si>
  <si>
    <t xml:space="preserve">Spain</t>
  </si>
  <si>
    <t xml:space="preserve">Idealista API</t>
  </si>
  <si>
    <t xml:space="preserve">No centralised registry</t>
  </si>
  <si>
    <t xml:space="preserve">Portal profiles</t>
  </si>
  <si>
    <t xml:space="preserve">$100–300</t>
  </si>
  <si>
    <t xml:space="preserve">Idealista covers ES/IT/PT with unified API. Contact developers.idealista.com.</t>
  </si>
  <si>
    <t xml:space="preserve">Italy</t>
  </si>
  <si>
    <t xml:space="preserve">Immobiliare.it API</t>
  </si>
  <si>
    <t xml:space="preserve">Agente Immobiliare reg.</t>
  </si>
  <si>
    <t xml:space="preserve">Official API with search, filters, demographic data. 1.2M+ listings.</t>
  </si>
  <si>
    <t xml:space="preserve">Portugal</t>
  </si>
  <si>
    <t xml:space="preserve">Idealista API (shared)</t>
  </si>
  <si>
    <t xml:space="preserve">Same Idealista API as Spain. Imovirtual as scraping fallback.</t>
  </si>
  <si>
    <t xml:space="preserve">UAE</t>
  </si>
  <si>
    <t xml:space="preserve">Bayut.com (scraping)</t>
  </si>
  <si>
    <t xml:space="preserve">RERA (Dubai) / Bayut profiles</t>
  </si>
  <si>
    <t xml:space="preserve">Scraping + DLD API</t>
  </si>
  <si>
    <t xml:space="preserve">$50–200</t>
  </si>
  <si>
    <t xml:space="preserve">Dubai Land Department has API gateway. Bayut/PropertyFinder scrapable.</t>
  </si>
  <si>
    <t xml:space="preserve">Saudi Arabia</t>
  </si>
  <si>
    <t xml:space="preserve">Bayut.sa (scraping)</t>
  </si>
  <si>
    <t xml:space="preserve">Scraping / Unofficial API</t>
  </si>
  <si>
    <t xml:space="preserve">Bayut unofficial API: 750 free calls/month. Aqar as alternative.</t>
  </si>
  <si>
    <t xml:space="preserve">Turkey</t>
  </si>
  <si>
    <t xml:space="preserve">Tier 4 — Explore</t>
  </si>
  <si>
    <t xml:space="preserve">Sahibinden.com (manual)</t>
  </si>
  <si>
    <t xml:space="preserve">Manual</t>
  </si>
  <si>
    <t xml:space="preserve">No public registry</t>
  </si>
  <si>
    <t xml:space="preserve">Directory only</t>
  </si>
  <si>
    <t xml:space="preserve">$0–50</t>
  </si>
  <si>
    <t xml:space="preserve">Low</t>
  </si>
  <si>
    <t xml:space="preserve">Manual only</t>
  </si>
  <si>
    <t xml:space="preserve">Limited digital infrastructure. 'Sahibinden' = direct from owner. Manual outreach.</t>
  </si>
  <si>
    <t xml:space="preserve">Australia</t>
  </si>
  <si>
    <t xml:space="preserve">REA API (realestate.com.au)</t>
  </si>
  <si>
    <t xml:space="preserve">State licensing + REIA</t>
  </si>
  <si>
    <t xml:space="preserve">API partnership</t>
  </si>
  <si>
    <t xml:space="preserve">$300–800</t>
  </si>
  <si>
    <t xml:space="preserve">4–6 weeks</t>
  </si>
  <si>
    <t xml:space="preserve">REA has full developer portal. Domain.com.au as alternative. Custom pricing.</t>
  </si>
  <si>
    <t xml:space="preserve">USA</t>
  </si>
  <si>
    <t xml:space="preserve">Zillow + Realtor.com APIs</t>
  </si>
  <si>
    <t xml:space="preserve">State licensing + NAR</t>
  </si>
  <si>
    <t xml:space="preserve">Fragmented (900+ MLS)</t>
  </si>
  <si>
    <t xml:space="preserve">$500–2000</t>
  </si>
  <si>
    <t xml:space="preserve">8–12 weeks</t>
  </si>
  <si>
    <t xml:space="preserve">Highly fragmented. Each MLS is separate. Requires broker sponsorship for MLS.</t>
  </si>
  <si>
    <t xml:space="preserve">Tier</t>
  </si>
  <si>
    <t xml:space="preserve">Scraping Cost /mo</t>
  </si>
  <si>
    <t xml:space="preserve">API Cost /mo</t>
  </si>
  <si>
    <t xml:space="preserve">Agent Cost /mo</t>
  </si>
  <si>
    <t xml:space="preserve">Total Est. /mo</t>
  </si>
  <si>
    <t xml:space="preserve">One-time Setup</t>
  </si>
  <si>
    <t xml:space="preserve">Compromise Now</t>
  </si>
  <si>
    <t xml:space="preserve">Rocket Speed Later</t>
  </si>
  <si>
    <t xml:space="preserve">T1</t>
  </si>
  <si>
    <t xml:space="preserve">Seed 50 agents from Reapit dev sandbox + manual outreach</t>
  </si>
  <si>
    <t xml:space="preserve">Full Reapit partnership + PropertyData feed</t>
  </si>
  <si>
    <t xml:space="preserve">30 seeded agents (done) + ImmoScout24 scraper</t>
  </si>
  <si>
    <t xml:space="preserve">ImmoScout24 official API + IHK registry sync</t>
  </si>
  <si>
    <t xml:space="preserve">T2</t>
  </si>
  <si>
    <t xml:space="preserve">Scrape Willhaben top 100 agencies</t>
  </si>
  <si>
    <t xml:space="preserve">Willhaben scraper on schedule + Chamber enrichment</t>
  </si>
  <si>
    <t xml:space="preserve">Scrape Homegate top 100 agencies</t>
  </si>
  <si>
    <t xml:space="preserve">Homegate + ImmoScout24.ch dual scraper</t>
  </si>
  <si>
    <t xml:space="preserve">Scrape Funda top 100 + NVM list</t>
  </si>
  <si>
    <t xml:space="preserve">Funda scraper + NVM API if available</t>
  </si>
  <si>
    <t xml:space="preserve">T3</t>
  </si>
  <si>
    <t xml:space="preserve">FNAIM public directory scrape</t>
  </si>
  <si>
    <t xml:space="preserve">SeLoger scraper (anti-bot bypass) + FNAIM sync</t>
  </si>
  <si>
    <t xml:space="preserve">Idealista API sandbox + top 50 agents</t>
  </si>
  <si>
    <t xml:space="preserve">Full Idealista API partnership</t>
  </si>
  <si>
    <t xml:space="preserve">Immobiliare.it API sandbox</t>
  </si>
  <si>
    <t xml:space="preserve">Full Immobiliare API + registry verification</t>
  </si>
  <si>
    <t xml:space="preserve">Idealista shared API (with Spain)</t>
  </si>
  <si>
    <t xml:space="preserve">Idealista + Imovirtual scraper</t>
  </si>
  <si>
    <t xml:space="preserve">Bayut scrape top 50 Dubai agencies</t>
  </si>
  <si>
    <t xml:space="preserve">Bayut + DLD API integration</t>
  </si>
  <si>
    <t xml:space="preserve">Bayut.sa unofficial API (750 free/mo)</t>
  </si>
  <si>
    <t xml:space="preserve">Bayut.sa paid API + Aqar scraper</t>
  </si>
  <si>
    <t xml:space="preserve">T4</t>
  </si>
  <si>
    <t xml:space="preserve">Manual outreach only — skip automation</t>
  </si>
  <si>
    <t xml:space="preserve">Sahibinden scraper if market opens</t>
  </si>
  <si>
    <t xml:space="preserve">Skip until demand signals</t>
  </si>
  <si>
    <t xml:space="preserve">REA API partnership + Domain scraper</t>
  </si>
  <si>
    <t xml:space="preserve">Zillow API + regional MLS partnerships</t>
  </si>
  <si>
    <t xml:space="preserve">TOTAL</t>
  </si>
  <si>
    <t xml:space="preserve">T1 Only (Launch)</t>
  </si>
  <si>
    <t xml:space="preserve">T1 + T2 (Near-term)</t>
  </si>
  <si>
    <t xml:space="preserve">Cost Category</t>
  </si>
  <si>
    <t xml:space="preserve">Monthly Est.</t>
  </si>
  <si>
    <t xml:space="preserve">Annual Est.</t>
  </si>
  <si>
    <t xml:space="preserve">Priority</t>
  </si>
  <si>
    <t xml:space="preserve">Can Defer?</t>
  </si>
  <si>
    <t xml:space="preserve">Notes</t>
  </si>
  <si>
    <t xml:space="preserve">Vercel (hosting)</t>
  </si>
  <si>
    <t xml:space="preserve">Critical</t>
  </si>
  <si>
    <t xml:space="preserve">No</t>
  </si>
  <si>
    <t xml:space="preserve">Free tier covers current usage. Pro plan $20/mo if needed.</t>
  </si>
  <si>
    <t xml:space="preserve">Supabase (database)</t>
  </si>
  <si>
    <t xml:space="preserve">Free tier: 500MB DB, 1GB storage, 50K auth users. Pro $25/mo later.</t>
  </si>
  <si>
    <t xml:space="preserve">Scraping (Apify/custom)</t>
  </si>
  <si>
    <t xml:space="preserve">Partially</t>
  </si>
  <si>
    <t xml:space="preserve">T1+T2 countries only at launch. Scale with demand.</t>
  </si>
  <si>
    <t xml:space="preserve">Portal APIs (Reapit, ImmoScout)</t>
  </si>
  <si>
    <t xml:space="preserve">Reapit free in sandbox. ImmoScout24 contact-based pricing.</t>
  </si>
  <si>
    <t xml:space="preserve">Scheduled Claude agent</t>
  </si>
  <si>
    <t xml:space="preserve">Yes</t>
  </si>
  <si>
    <t xml:space="preserve">Research + monitoring agent. ~$50/mo at moderate usage.</t>
  </si>
  <si>
    <t xml:space="preserve">Domain (yalla.house)</t>
  </si>
  <si>
    <t xml:space="preserve">Annual renewal. Already active.</t>
  </si>
  <si>
    <t xml:space="preserve">Email (Resend / Postmark)</t>
  </si>
  <si>
    <t xml:space="preserve">Free tier covers early volume. $20/mo at scale.</t>
  </si>
  <si>
    <t xml:space="preserve">Stripe (payments)</t>
  </si>
  <si>
    <t xml:space="preserve">Blocked</t>
  </si>
  <si>
    <t xml:space="preserve">Needs company registration first. 2.9% + 30¢ per txn.</t>
  </si>
  <si>
    <t xml:space="preserve">Google Workspace</t>
  </si>
  <si>
    <t xml:space="preserve">admin@yalla.house. Could use free alternatives.</t>
  </si>
  <si>
    <t xml:space="preserve">Notion (project management)</t>
  </si>
  <si>
    <t xml:space="preserve">Free plan for now. Team plan $10/user/mo later.</t>
  </si>
  <si>
    <t xml:space="preserve">TOTAL MONTHLY</t>
  </si>
  <si>
    <t xml:space="preserve">Area</t>
  </si>
  <si>
    <t xml:space="preserve">Compromise Now (Free / Low-cost)</t>
  </si>
  <si>
    <t xml:space="preserve">Cost Now</t>
  </si>
  <si>
    <t xml:space="preserve">Cost Later</t>
  </si>
  <si>
    <t xml:space="preserve">Trigger to Upgrade</t>
  </si>
  <si>
    <t xml:space="preserve">Impact</t>
  </si>
  <si>
    <t xml:space="preserve">Agent data — UK</t>
  </si>
  <si>
    <t xml:space="preserve">Seed 50 agents manually + Reapit sandbox</t>
  </si>
  <si>
    <t xml:space="preserve">Full Reapit partner integration + auto-sync</t>
  </si>
  <si>
    <t xml:space="preserve">First 10 owner sign-ups in UK</t>
  </si>
  <si>
    <t xml:space="preserve">Agent data — DE</t>
  </si>
  <si>
    <t xml:space="preserve">30 seeded agents (done) + manual adds</t>
  </si>
  <si>
    <t xml:space="preserve">ImmoScout24 API + IHK registry sync</t>
  </si>
  <si>
    <t xml:space="preserve">First 10 owner sign-ups in DE</t>
  </si>
  <si>
    <t xml:space="preserve">Agent data — DACH</t>
  </si>
  <si>
    <t xml:space="preserve">Skip until T1 markets validated</t>
  </si>
  <si>
    <t xml:space="preserve">Willhaben + Homegate scrapers on schedule</t>
  </si>
  <si>
    <t xml:space="preserve">T1 countries hit 50 owners each</t>
  </si>
  <si>
    <t xml:space="preserve">Agent data — expansion</t>
  </si>
  <si>
    <t xml:space="preserve">Skip entirely</t>
  </si>
  <si>
    <t xml:space="preserve">Idealista API + per-country scrapers</t>
  </si>
  <si>
    <t xml:space="preserve">Revenue from T1/T2 covers cost</t>
  </si>
  <si>
    <t xml:space="preserve">Low (for now)</t>
  </si>
  <si>
    <t xml:space="preserve">Match scoring</t>
  </si>
  <si>
    <t xml:space="preserve">Random scores with postcode bias (current)</t>
  </si>
  <si>
    <t xml:space="preserve">Real ratings from owner reviews + response time tracking</t>
  </si>
  <si>
    <t xml:space="preserve">First 20 completed transactions</t>
  </si>
  <si>
    <t xml:space="preserve">Agent verification</t>
  </si>
  <si>
    <t xml:space="preserve">Manual verify flag in admin panel</t>
  </si>
  <si>
    <t xml:space="preserve">Automated license check via IHK/NAEA APIs</t>
  </si>
  <si>
    <t xml:space="preserve">Agent count exceeds 200</t>
  </si>
  <si>
    <t xml:space="preserve">Hosting</t>
  </si>
  <si>
    <t xml:space="preserve">Vercel free + Supabase free</t>
  </si>
  <si>
    <t xml:space="preserve">Vercel Pro + Supabase Pro + CDN</t>
  </si>
  <si>
    <t xml:space="preserve">Traffic exceeds free tier limits</t>
  </si>
  <si>
    <t xml:space="preserve">Payments</t>
  </si>
  <si>
    <t xml:space="preserve">Manual invoicing (pre-Stripe)</t>
  </si>
  <si>
    <t xml:space="preserve">Stripe integration + subscription billing</t>
  </si>
  <si>
    <t xml:space="preserve">Company registered + first paying agent</t>
  </si>
  <si>
    <t xml:space="preserve">Email</t>
  </si>
  <si>
    <t xml:space="preserve">Resend free tier</t>
  </si>
  <si>
    <t xml:space="preserve">Postmark / SendGrid with templates</t>
  </si>
  <si>
    <t xml:space="preserve">Volume exceeds 100 emails/day</t>
  </si>
  <si>
    <t xml:space="preserve">Scheduled research agent</t>
  </si>
  <si>
    <t xml:space="preserve">Manual research sessions (like today)</t>
  </si>
  <si>
    <t xml:space="preserve">Claude agent on weekly schedule monitoring new APIs, pricing changes, competitor moves</t>
  </si>
  <si>
    <t xml:space="preserve">Set up now — low cost, high leverage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</si>
</sst>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F1117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1E40AF"/>
      <name val="Arial"/>
      <family val="0"/>
      <charset val="1"/>
    </font>
    <font>
      <b val="true"/>
      <sz val="9"/>
      <color rgb="FF854D0E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1"/>
      <color rgb="FFD4764E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9"/>
      <color rgb="FF0F111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117"/>
        <bgColor rgb="FF000000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BEAFE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2E8F0"/>
      </patternFill>
    </fill>
    <fill>
      <patternFill patternType="solid">
        <fgColor rgb="FFFEF9C3"/>
        <bgColor rgb="FFF8FAFC"/>
      </patternFill>
    </fill>
    <fill>
      <patternFill patternType="solid">
        <fgColor rgb="FFFEE2E2"/>
        <bgColor rgb="FFE2E8F0"/>
      </patternFill>
    </fill>
    <fill>
      <patternFill patternType="solid">
        <fgColor rgb="FFE2E8F0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 style="double">
        <color rgb="FF0F1117"/>
      </top>
      <bottom style="double">
        <color rgb="FF0F11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59669"/>
      <rgbColor rgb="FFC0C0C0"/>
      <rgbColor rgb="FF808080"/>
      <rgbColor rgb="FF9999FF"/>
      <rgbColor rgb="FF854D0E"/>
      <rgbColor rgb="FFFEF9C3"/>
      <rgbColor rgb="FFDCFCE7"/>
      <rgbColor rgb="FF660066"/>
      <rgbColor rgb="FFD4764E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7"/>
      <rgbColor rgb="FF333300"/>
      <rgbColor rgb="FF991B1B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764E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5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4" t="s">
        <v>20</v>
      </c>
      <c r="B3" s="3" t="s">
        <v>11</v>
      </c>
      <c r="C3" s="4" t="s">
        <v>21</v>
      </c>
      <c r="D3" s="3" t="s">
        <v>13</v>
      </c>
      <c r="E3" s="4" t="s">
        <v>22</v>
      </c>
      <c r="F3" s="4" t="s">
        <v>23</v>
      </c>
      <c r="G3" s="4" t="s">
        <v>24</v>
      </c>
      <c r="H3" s="4" t="s">
        <v>17</v>
      </c>
      <c r="I3" s="4" t="s">
        <v>25</v>
      </c>
      <c r="J3" s="4" t="s">
        <v>26</v>
      </c>
    </row>
    <row r="4" customFormat="false" ht="15" hidden="false" customHeight="false" outlineLevel="0" collapsed="false">
      <c r="A4" s="2" t="s">
        <v>27</v>
      </c>
      <c r="B4" s="5" t="s">
        <v>28</v>
      </c>
      <c r="C4" s="2" t="s">
        <v>29</v>
      </c>
      <c r="D4" s="6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customFormat="false" ht="15" hidden="false" customHeight="false" outlineLevel="0" collapsed="false">
      <c r="A5" s="4" t="s">
        <v>37</v>
      </c>
      <c r="B5" s="5" t="s">
        <v>28</v>
      </c>
      <c r="C5" s="4" t="s">
        <v>38</v>
      </c>
      <c r="D5" s="6" t="s">
        <v>30</v>
      </c>
      <c r="E5" s="4" t="s">
        <v>39</v>
      </c>
      <c r="F5" s="4" t="s">
        <v>32</v>
      </c>
      <c r="G5" s="4" t="s">
        <v>40</v>
      </c>
      <c r="H5" s="4" t="s">
        <v>34</v>
      </c>
      <c r="I5" s="4" t="s">
        <v>35</v>
      </c>
      <c r="J5" s="4" t="s">
        <v>41</v>
      </c>
    </row>
    <row r="6" customFormat="false" ht="15" hidden="false" customHeight="false" outlineLevel="0" collapsed="false">
      <c r="A6" s="2" t="s">
        <v>42</v>
      </c>
      <c r="B6" s="5" t="s">
        <v>28</v>
      </c>
      <c r="C6" s="2" t="s">
        <v>43</v>
      </c>
      <c r="D6" s="6" t="s">
        <v>30</v>
      </c>
      <c r="E6" s="2" t="s">
        <v>44</v>
      </c>
      <c r="F6" s="2" t="s">
        <v>45</v>
      </c>
      <c r="G6" s="2" t="s">
        <v>33</v>
      </c>
      <c r="H6" s="2" t="s">
        <v>34</v>
      </c>
      <c r="I6" s="2" t="s">
        <v>35</v>
      </c>
      <c r="J6" s="2" t="s">
        <v>46</v>
      </c>
    </row>
    <row r="7" customFormat="false" ht="23.85" hidden="false" customHeight="false" outlineLevel="0" collapsed="false">
      <c r="A7" s="4" t="s">
        <v>47</v>
      </c>
      <c r="B7" s="6" t="s">
        <v>48</v>
      </c>
      <c r="C7" s="4" t="s">
        <v>49</v>
      </c>
      <c r="D7" s="6" t="s">
        <v>30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</row>
    <row r="8" customFormat="false" ht="23.85" hidden="false" customHeight="false" outlineLevel="0" collapsed="false">
      <c r="A8" s="2" t="s">
        <v>56</v>
      </c>
      <c r="B8" s="6" t="s">
        <v>48</v>
      </c>
      <c r="C8" s="2" t="s">
        <v>57</v>
      </c>
      <c r="D8" s="3" t="s">
        <v>13</v>
      </c>
      <c r="E8" s="2" t="s">
        <v>58</v>
      </c>
      <c r="F8" s="2" t="s">
        <v>59</v>
      </c>
      <c r="G8" s="2" t="s">
        <v>60</v>
      </c>
      <c r="H8" s="2" t="s">
        <v>17</v>
      </c>
      <c r="I8" s="2" t="s">
        <v>25</v>
      </c>
      <c r="J8" s="2" t="s">
        <v>61</v>
      </c>
    </row>
    <row r="9" customFormat="false" ht="15" hidden="false" customHeight="false" outlineLevel="0" collapsed="false">
      <c r="A9" s="4" t="s">
        <v>62</v>
      </c>
      <c r="B9" s="6" t="s">
        <v>48</v>
      </c>
      <c r="C9" s="4" t="s">
        <v>63</v>
      </c>
      <c r="D9" s="3" t="s">
        <v>13</v>
      </c>
      <c r="E9" s="4" t="s">
        <v>64</v>
      </c>
      <c r="F9" s="4" t="s">
        <v>59</v>
      </c>
      <c r="G9" s="4" t="s">
        <v>60</v>
      </c>
      <c r="H9" s="4" t="s">
        <v>17</v>
      </c>
      <c r="I9" s="4" t="s">
        <v>25</v>
      </c>
      <c r="J9" s="4" t="s">
        <v>65</v>
      </c>
    </row>
    <row r="10" customFormat="false" ht="15" hidden="false" customHeight="false" outlineLevel="0" collapsed="false">
      <c r="A10" s="2" t="s">
        <v>66</v>
      </c>
      <c r="B10" s="6" t="s">
        <v>48</v>
      </c>
      <c r="C10" s="2" t="s">
        <v>67</v>
      </c>
      <c r="D10" s="3" t="s">
        <v>13</v>
      </c>
      <c r="E10" s="2" t="s">
        <v>58</v>
      </c>
      <c r="F10" s="2" t="s">
        <v>59</v>
      </c>
      <c r="G10" s="2" t="s">
        <v>33</v>
      </c>
      <c r="H10" s="2" t="s">
        <v>53</v>
      </c>
      <c r="I10" s="2" t="s">
        <v>35</v>
      </c>
      <c r="J10" s="2" t="s">
        <v>68</v>
      </c>
    </row>
    <row r="11" customFormat="false" ht="23.85" hidden="false" customHeight="false" outlineLevel="0" collapsed="false">
      <c r="A11" s="4" t="s">
        <v>69</v>
      </c>
      <c r="B11" s="6" t="s">
        <v>48</v>
      </c>
      <c r="C11" s="4" t="s">
        <v>70</v>
      </c>
      <c r="D11" s="6" t="s">
        <v>30</v>
      </c>
      <c r="E11" s="4" t="s">
        <v>71</v>
      </c>
      <c r="F11" s="4" t="s">
        <v>72</v>
      </c>
      <c r="G11" s="4" t="s">
        <v>73</v>
      </c>
      <c r="H11" s="4" t="s">
        <v>34</v>
      </c>
      <c r="I11" s="4" t="s">
        <v>25</v>
      </c>
      <c r="J11" s="4" t="s">
        <v>74</v>
      </c>
    </row>
    <row r="12" customFormat="false" ht="15" hidden="false" customHeight="false" outlineLevel="0" collapsed="false">
      <c r="A12" s="2" t="s">
        <v>75</v>
      </c>
      <c r="B12" s="6" t="s">
        <v>48</v>
      </c>
      <c r="C12" s="2" t="s">
        <v>76</v>
      </c>
      <c r="D12" s="6" t="s">
        <v>77</v>
      </c>
      <c r="E12" s="2" t="s">
        <v>58</v>
      </c>
      <c r="F12" s="2" t="s">
        <v>59</v>
      </c>
      <c r="G12" s="2" t="s">
        <v>33</v>
      </c>
      <c r="H12" s="2" t="s">
        <v>34</v>
      </c>
      <c r="I12" s="2" t="s">
        <v>35</v>
      </c>
      <c r="J12" s="2" t="s">
        <v>78</v>
      </c>
    </row>
    <row r="13" customFormat="false" ht="23.85" hidden="false" customHeight="false" outlineLevel="0" collapsed="false">
      <c r="A13" s="4" t="s">
        <v>79</v>
      </c>
      <c r="B13" s="7" t="s">
        <v>80</v>
      </c>
      <c r="C13" s="4" t="s">
        <v>81</v>
      </c>
      <c r="D13" s="7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88</v>
      </c>
    </row>
    <row r="14" customFormat="false" ht="23.85" hidden="false" customHeight="false" outlineLevel="0" collapsed="false">
      <c r="A14" s="2" t="s">
        <v>89</v>
      </c>
      <c r="B14" s="7" t="s">
        <v>80</v>
      </c>
      <c r="C14" s="2" t="s">
        <v>90</v>
      </c>
      <c r="D14" s="3" t="s">
        <v>13</v>
      </c>
      <c r="E14" s="2" t="s">
        <v>91</v>
      </c>
      <c r="F14" s="2" t="s">
        <v>92</v>
      </c>
      <c r="G14" s="2" t="s">
        <v>93</v>
      </c>
      <c r="H14" s="2" t="s">
        <v>17</v>
      </c>
      <c r="I14" s="2" t="s">
        <v>94</v>
      </c>
      <c r="J14" s="2" t="s">
        <v>95</v>
      </c>
    </row>
    <row r="15" customFormat="false" ht="23.85" hidden="false" customHeight="false" outlineLevel="0" collapsed="false">
      <c r="A15" s="4" t="s">
        <v>96</v>
      </c>
      <c r="B15" s="7" t="s">
        <v>80</v>
      </c>
      <c r="C15" s="4" t="s">
        <v>97</v>
      </c>
      <c r="D15" s="3" t="s">
        <v>13</v>
      </c>
      <c r="E15" s="4" t="s">
        <v>98</v>
      </c>
      <c r="F15" s="4" t="s">
        <v>99</v>
      </c>
      <c r="G15" s="4" t="s">
        <v>100</v>
      </c>
      <c r="H15" s="4" t="s">
        <v>17</v>
      </c>
      <c r="I15" s="4" t="s">
        <v>101</v>
      </c>
      <c r="J15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9" min="8" style="0" width="42"/>
  </cols>
  <sheetData>
    <row r="1" customFormat="false" ht="26.85" hidden="false" customHeight="false" outlineLevel="0" collapsed="false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customFormat="false" ht="23.85" hidden="false" customHeight="false" outlineLevel="0" collapsed="false">
      <c r="A2" s="2" t="s">
        <v>10</v>
      </c>
      <c r="B2" s="3" t="s">
        <v>111</v>
      </c>
      <c r="C2" s="8" t="n">
        <v>100</v>
      </c>
      <c r="D2" s="8" t="n">
        <v>300</v>
      </c>
      <c r="E2" s="8" t="n">
        <v>50</v>
      </c>
      <c r="F2" s="8" t="n">
        <f aca="false">C2+D2+E2</f>
        <v>450</v>
      </c>
      <c r="G2" s="8" t="n">
        <v>500</v>
      </c>
      <c r="H2" s="2" t="s">
        <v>112</v>
      </c>
      <c r="I2" s="2" t="s">
        <v>113</v>
      </c>
    </row>
    <row r="3" customFormat="false" ht="15" hidden="false" customHeight="false" outlineLevel="0" collapsed="false">
      <c r="A3" s="4" t="s">
        <v>20</v>
      </c>
      <c r="B3" s="3" t="s">
        <v>111</v>
      </c>
      <c r="C3" s="9" t="n">
        <v>80</v>
      </c>
      <c r="D3" s="9" t="n">
        <v>200</v>
      </c>
      <c r="E3" s="9" t="n">
        <v>50</v>
      </c>
      <c r="F3" s="9" t="n">
        <f aca="false">C3+D3+E3</f>
        <v>330</v>
      </c>
      <c r="G3" s="9" t="n">
        <v>200</v>
      </c>
      <c r="H3" s="4" t="s">
        <v>114</v>
      </c>
      <c r="I3" s="4" t="s">
        <v>115</v>
      </c>
    </row>
    <row r="4" customFormat="false" ht="23.85" hidden="false" customHeight="false" outlineLevel="0" collapsed="false">
      <c r="A4" s="2" t="s">
        <v>27</v>
      </c>
      <c r="B4" s="5" t="s">
        <v>116</v>
      </c>
      <c r="C4" s="8" t="n">
        <v>50</v>
      </c>
      <c r="D4" s="8" t="n">
        <v>0</v>
      </c>
      <c r="E4" s="8" t="n">
        <v>30</v>
      </c>
      <c r="F4" s="8" t="n">
        <f aca="false">C4+D4+E4</f>
        <v>80</v>
      </c>
      <c r="G4" s="8" t="n">
        <v>100</v>
      </c>
      <c r="H4" s="2" t="s">
        <v>117</v>
      </c>
      <c r="I4" s="2" t="s">
        <v>118</v>
      </c>
    </row>
    <row r="5" customFormat="false" ht="15" hidden="false" customHeight="false" outlineLevel="0" collapsed="false">
      <c r="A5" s="4" t="s">
        <v>37</v>
      </c>
      <c r="B5" s="5" t="s">
        <v>116</v>
      </c>
      <c r="C5" s="9" t="n">
        <v>80</v>
      </c>
      <c r="D5" s="9" t="n">
        <v>0</v>
      </c>
      <c r="E5" s="9" t="n">
        <v>30</v>
      </c>
      <c r="F5" s="9" t="n">
        <f aca="false">C5+D5+E5</f>
        <v>110</v>
      </c>
      <c r="G5" s="9" t="n">
        <v>100</v>
      </c>
      <c r="H5" s="4" t="s">
        <v>119</v>
      </c>
      <c r="I5" s="4" t="s">
        <v>120</v>
      </c>
    </row>
    <row r="6" customFormat="false" ht="15" hidden="false" customHeight="false" outlineLevel="0" collapsed="false">
      <c r="A6" s="2" t="s">
        <v>42</v>
      </c>
      <c r="B6" s="5" t="s">
        <v>116</v>
      </c>
      <c r="C6" s="8" t="n">
        <v>50</v>
      </c>
      <c r="D6" s="8" t="n">
        <v>0</v>
      </c>
      <c r="E6" s="8" t="n">
        <v>30</v>
      </c>
      <c r="F6" s="8" t="n">
        <f aca="false">C6+D6+E6</f>
        <v>80</v>
      </c>
      <c r="G6" s="8" t="n">
        <v>100</v>
      </c>
      <c r="H6" s="2" t="s">
        <v>121</v>
      </c>
      <c r="I6" s="2" t="s">
        <v>122</v>
      </c>
    </row>
    <row r="7" customFormat="false" ht="15" hidden="false" customHeight="false" outlineLevel="0" collapsed="false">
      <c r="A7" s="4" t="s">
        <v>47</v>
      </c>
      <c r="B7" s="6" t="s">
        <v>123</v>
      </c>
      <c r="C7" s="9" t="n">
        <v>100</v>
      </c>
      <c r="D7" s="9" t="n">
        <v>0</v>
      </c>
      <c r="E7" s="9" t="n">
        <v>40</v>
      </c>
      <c r="F7" s="9" t="n">
        <f aca="false">C7+D7+E7</f>
        <v>140</v>
      </c>
      <c r="G7" s="9" t="n">
        <v>200</v>
      </c>
      <c r="H7" s="4" t="s">
        <v>124</v>
      </c>
      <c r="I7" s="4" t="s">
        <v>125</v>
      </c>
    </row>
    <row r="8" customFormat="false" ht="15" hidden="false" customHeight="false" outlineLevel="0" collapsed="false">
      <c r="A8" s="2" t="s">
        <v>56</v>
      </c>
      <c r="B8" s="6" t="s">
        <v>123</v>
      </c>
      <c r="C8" s="8" t="n">
        <v>50</v>
      </c>
      <c r="D8" s="8" t="n">
        <v>150</v>
      </c>
      <c r="E8" s="8" t="n">
        <v>30</v>
      </c>
      <c r="F8" s="8" t="n">
        <f aca="false">C8+D8+E8</f>
        <v>230</v>
      </c>
      <c r="G8" s="8" t="n">
        <v>150</v>
      </c>
      <c r="H8" s="2" t="s">
        <v>126</v>
      </c>
      <c r="I8" s="2" t="s">
        <v>127</v>
      </c>
    </row>
    <row r="9" customFormat="false" ht="15" hidden="false" customHeight="false" outlineLevel="0" collapsed="false">
      <c r="A9" s="4" t="s">
        <v>62</v>
      </c>
      <c r="B9" s="6" t="s">
        <v>123</v>
      </c>
      <c r="C9" s="9" t="n">
        <v>50</v>
      </c>
      <c r="D9" s="9" t="n">
        <v>150</v>
      </c>
      <c r="E9" s="9" t="n">
        <v>30</v>
      </c>
      <c r="F9" s="9" t="n">
        <f aca="false">C9+D9+E9</f>
        <v>230</v>
      </c>
      <c r="G9" s="9" t="n">
        <v>150</v>
      </c>
      <c r="H9" s="4" t="s">
        <v>128</v>
      </c>
      <c r="I9" s="4" t="s">
        <v>129</v>
      </c>
    </row>
    <row r="10" customFormat="false" ht="15" hidden="false" customHeight="false" outlineLevel="0" collapsed="false">
      <c r="A10" s="2" t="s">
        <v>66</v>
      </c>
      <c r="B10" s="6" t="s">
        <v>123</v>
      </c>
      <c r="C10" s="8" t="n">
        <v>30</v>
      </c>
      <c r="D10" s="8" t="n">
        <v>0</v>
      </c>
      <c r="E10" s="8" t="n">
        <v>20</v>
      </c>
      <c r="F10" s="8" t="n">
        <f aca="false">C10+D10+E10</f>
        <v>50</v>
      </c>
      <c r="G10" s="8" t="n">
        <v>50</v>
      </c>
      <c r="H10" s="2" t="s">
        <v>130</v>
      </c>
      <c r="I10" s="2" t="s">
        <v>131</v>
      </c>
    </row>
    <row r="11" customFormat="false" ht="15" hidden="false" customHeight="false" outlineLevel="0" collapsed="false">
      <c r="A11" s="4" t="s">
        <v>69</v>
      </c>
      <c r="B11" s="6" t="s">
        <v>123</v>
      </c>
      <c r="C11" s="9" t="n">
        <v>50</v>
      </c>
      <c r="D11" s="9" t="n">
        <v>0</v>
      </c>
      <c r="E11" s="9" t="n">
        <v>30</v>
      </c>
      <c r="F11" s="9" t="n">
        <f aca="false">C11+D11+E11</f>
        <v>80</v>
      </c>
      <c r="G11" s="9" t="n">
        <v>100</v>
      </c>
      <c r="H11" s="4" t="s">
        <v>132</v>
      </c>
      <c r="I11" s="4" t="s">
        <v>133</v>
      </c>
    </row>
    <row r="12" customFormat="false" ht="15" hidden="false" customHeight="false" outlineLevel="0" collapsed="false">
      <c r="A12" s="2" t="s">
        <v>75</v>
      </c>
      <c r="B12" s="6" t="s">
        <v>123</v>
      </c>
      <c r="C12" s="8" t="n">
        <v>50</v>
      </c>
      <c r="D12" s="8" t="n">
        <v>0</v>
      </c>
      <c r="E12" s="8" t="n">
        <v>20</v>
      </c>
      <c r="F12" s="8" t="n">
        <f aca="false">C12+D12+E12</f>
        <v>70</v>
      </c>
      <c r="G12" s="8" t="n">
        <v>50</v>
      </c>
      <c r="H12" s="2" t="s">
        <v>134</v>
      </c>
      <c r="I12" s="2" t="s">
        <v>135</v>
      </c>
    </row>
    <row r="13" customFormat="false" ht="15" hidden="false" customHeight="false" outlineLevel="0" collapsed="false">
      <c r="A13" s="4" t="s">
        <v>79</v>
      </c>
      <c r="B13" s="7" t="s">
        <v>136</v>
      </c>
      <c r="C13" s="9" t="n">
        <v>0</v>
      </c>
      <c r="D13" s="9" t="n">
        <v>0</v>
      </c>
      <c r="E13" s="9" t="n">
        <v>20</v>
      </c>
      <c r="F13" s="9" t="n">
        <f aca="false">C13+D13+E13</f>
        <v>20</v>
      </c>
      <c r="G13" s="9" t="n">
        <v>0</v>
      </c>
      <c r="H13" s="4" t="s">
        <v>137</v>
      </c>
      <c r="I13" s="4" t="s">
        <v>138</v>
      </c>
    </row>
    <row r="14" customFormat="false" ht="15" hidden="false" customHeight="false" outlineLevel="0" collapsed="false">
      <c r="A14" s="2" t="s">
        <v>89</v>
      </c>
      <c r="B14" s="7" t="s">
        <v>136</v>
      </c>
      <c r="C14" s="8" t="n">
        <v>0</v>
      </c>
      <c r="D14" s="8" t="n">
        <v>500</v>
      </c>
      <c r="E14" s="8" t="n">
        <v>50</v>
      </c>
      <c r="F14" s="8" t="n">
        <f aca="false">C14+D14+E14</f>
        <v>550</v>
      </c>
      <c r="G14" s="8" t="n">
        <v>1000</v>
      </c>
      <c r="H14" s="2" t="s">
        <v>139</v>
      </c>
      <c r="I14" s="2" t="s">
        <v>140</v>
      </c>
    </row>
    <row r="15" customFormat="false" ht="15" hidden="false" customHeight="false" outlineLevel="0" collapsed="false">
      <c r="A15" s="4" t="s">
        <v>96</v>
      </c>
      <c r="B15" s="7" t="s">
        <v>136</v>
      </c>
      <c r="C15" s="9" t="n">
        <v>0</v>
      </c>
      <c r="D15" s="9" t="n">
        <v>1000</v>
      </c>
      <c r="E15" s="9" t="n">
        <v>100</v>
      </c>
      <c r="F15" s="9" t="n">
        <f aca="false">C15+D15+E15</f>
        <v>1100</v>
      </c>
      <c r="G15" s="9" t="n">
        <v>3000</v>
      </c>
      <c r="H15" s="4" t="s">
        <v>139</v>
      </c>
      <c r="I15" s="4" t="s">
        <v>141</v>
      </c>
    </row>
    <row r="16" customFormat="false" ht="15" hidden="false" customHeight="false" outlineLevel="0" collapsed="false">
      <c r="A16" s="10" t="s">
        <v>142</v>
      </c>
      <c r="C16" s="11" t="n">
        <f aca="false">SUM(C2:C15)</f>
        <v>690</v>
      </c>
      <c r="D16" s="11" t="n">
        <f aca="false">SUM(D2:D15)</f>
        <v>2300</v>
      </c>
      <c r="E16" s="11" t="n">
        <f aca="false">SUM(E2:E15)</f>
        <v>530</v>
      </c>
      <c r="F16" s="11" t="n">
        <f aca="false">SUM(F2:F15)</f>
        <v>3520</v>
      </c>
      <c r="G16" s="11" t="n">
        <f aca="false">SUM(G2:G15)</f>
        <v>5700</v>
      </c>
    </row>
    <row r="17" customFormat="false" ht="15" hidden="false" customHeight="false" outlineLevel="0" collapsed="false">
      <c r="A17" s="12" t="s">
        <v>143</v>
      </c>
      <c r="C17" s="13" t="n">
        <f aca="false">SUMPRODUCT((B2:B15="T1")*C2:C15)</f>
        <v>180</v>
      </c>
      <c r="D17" s="13" t="n">
        <f aca="false">SUMPRODUCT((B2:B15="T1")*D2:D15)</f>
        <v>500</v>
      </c>
      <c r="E17" s="13" t="n">
        <f aca="false">SUMPRODUCT((B2:B15="T1")*E2:E15)</f>
        <v>100</v>
      </c>
      <c r="F17" s="13" t="n">
        <f aca="false">SUMPRODUCT((B2:B15="T1")*F2:F15)</f>
        <v>780</v>
      </c>
      <c r="G17" s="13" t="n">
        <f aca="false">SUMPRODUCT((B2:B15="T1")*G2:G15)</f>
        <v>700</v>
      </c>
    </row>
    <row r="18" customFormat="false" ht="15" hidden="false" customHeight="false" outlineLevel="0" collapsed="false">
      <c r="A18" s="14" t="s">
        <v>144</v>
      </c>
      <c r="C18" s="15" t="n">
        <f aca="false">SUMPRODUCT(((B2:B15="T1")+(B2:B15="T2"))*C2:C15)</f>
        <v>360</v>
      </c>
      <c r="D18" s="15" t="n">
        <f aca="false">SUMPRODUCT(((B2:B15="T1")+(B2:B15="T2"))*D2:D15)</f>
        <v>500</v>
      </c>
      <c r="E18" s="15" t="n">
        <f aca="false">SUMPRODUCT(((B2:B15="T1")+(B2:B15="T2"))*E2:E15)</f>
        <v>190</v>
      </c>
      <c r="F18" s="15" t="n">
        <f aca="false">SUMPRODUCT(((B2:B15="T1")+(B2:B15="T2"))*F2:F15)</f>
        <v>1050</v>
      </c>
      <c r="G18" s="15" t="n">
        <f aca="false">SUMPRODUCT(((B2:B15="T1")+(B2:B15="T2"))*G2:G15)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customFormat="false" ht="15" hidden="false" customHeight="false" outlineLevel="0" collapsed="false">
      <c r="A2" s="2" t="s">
        <v>151</v>
      </c>
      <c r="B2" s="8" t="n">
        <v>0</v>
      </c>
      <c r="C2" s="8" t="n">
        <f aca="false">B2*12</f>
        <v>0</v>
      </c>
      <c r="D2" s="7" t="s">
        <v>152</v>
      </c>
      <c r="E2" s="2" t="s">
        <v>153</v>
      </c>
      <c r="F2" s="2" t="s">
        <v>154</v>
      </c>
    </row>
    <row r="3" customFormat="false" ht="23.85" hidden="false" customHeight="false" outlineLevel="0" collapsed="false">
      <c r="A3" s="4" t="s">
        <v>155</v>
      </c>
      <c r="B3" s="9" t="n">
        <v>0</v>
      </c>
      <c r="C3" s="9" t="n">
        <f aca="false">B3*12</f>
        <v>0</v>
      </c>
      <c r="D3" s="7" t="s">
        <v>152</v>
      </c>
      <c r="E3" s="4" t="s">
        <v>153</v>
      </c>
      <c r="F3" s="4" t="s">
        <v>156</v>
      </c>
    </row>
    <row r="4" customFormat="false" ht="15" hidden="false" customHeight="false" outlineLevel="0" collapsed="false">
      <c r="A4" s="2" t="s">
        <v>157</v>
      </c>
      <c r="B4" s="8" t="n">
        <v>300</v>
      </c>
      <c r="C4" s="8" t="n">
        <f aca="false">B4*12</f>
        <v>3600</v>
      </c>
      <c r="D4" s="6" t="s">
        <v>17</v>
      </c>
      <c r="E4" s="2" t="s">
        <v>158</v>
      </c>
      <c r="F4" s="2" t="s">
        <v>159</v>
      </c>
    </row>
    <row r="5" customFormat="false" ht="15" hidden="false" customHeight="false" outlineLevel="0" collapsed="false">
      <c r="A5" s="4" t="s">
        <v>160</v>
      </c>
      <c r="B5" s="9" t="n">
        <v>500</v>
      </c>
      <c r="C5" s="9" t="n">
        <f aca="false">B5*12</f>
        <v>6000</v>
      </c>
      <c r="D5" s="6" t="s">
        <v>17</v>
      </c>
      <c r="E5" s="4" t="s">
        <v>158</v>
      </c>
      <c r="F5" s="4" t="s">
        <v>161</v>
      </c>
    </row>
    <row r="6" customFormat="false" ht="15" hidden="false" customHeight="false" outlineLevel="0" collapsed="false">
      <c r="A6" s="2" t="s">
        <v>162</v>
      </c>
      <c r="B6" s="8" t="n">
        <v>50</v>
      </c>
      <c r="C6" s="8" t="n">
        <f aca="false">B6*12</f>
        <v>600</v>
      </c>
      <c r="D6" s="5" t="s">
        <v>34</v>
      </c>
      <c r="E6" s="2" t="s">
        <v>163</v>
      </c>
      <c r="F6" s="2" t="s">
        <v>164</v>
      </c>
    </row>
    <row r="7" customFormat="false" ht="15" hidden="false" customHeight="false" outlineLevel="0" collapsed="false">
      <c r="A7" s="4" t="s">
        <v>165</v>
      </c>
      <c r="B7" s="9" t="n">
        <v>15</v>
      </c>
      <c r="C7" s="9" t="n">
        <f aca="false">B7*12</f>
        <v>180</v>
      </c>
      <c r="D7" s="7" t="s">
        <v>152</v>
      </c>
      <c r="E7" s="4" t="s">
        <v>153</v>
      </c>
      <c r="F7" s="4" t="s">
        <v>166</v>
      </c>
    </row>
    <row r="8" customFormat="false" ht="15" hidden="false" customHeight="false" outlineLevel="0" collapsed="false">
      <c r="A8" s="2" t="s">
        <v>167</v>
      </c>
      <c r="B8" s="8" t="n">
        <v>0</v>
      </c>
      <c r="C8" s="8" t="n">
        <f aca="false">B8*12</f>
        <v>0</v>
      </c>
      <c r="D8" s="5" t="s">
        <v>34</v>
      </c>
      <c r="E8" s="2" t="s">
        <v>163</v>
      </c>
      <c r="F8" s="2" t="s">
        <v>168</v>
      </c>
    </row>
    <row r="9" customFormat="false" ht="15" hidden="false" customHeight="false" outlineLevel="0" collapsed="false">
      <c r="A9" s="4" t="s">
        <v>169</v>
      </c>
      <c r="B9" s="9" t="n">
        <v>0</v>
      </c>
      <c r="C9" s="9" t="n">
        <f aca="false">B9*12</f>
        <v>0</v>
      </c>
      <c r="D9" s="16" t="s">
        <v>170</v>
      </c>
      <c r="E9" s="4" t="s">
        <v>163</v>
      </c>
      <c r="F9" s="4" t="s">
        <v>171</v>
      </c>
    </row>
    <row r="10" customFormat="false" ht="15" hidden="false" customHeight="false" outlineLevel="0" collapsed="false">
      <c r="A10" s="2" t="s">
        <v>172</v>
      </c>
      <c r="B10" s="8" t="n">
        <v>6</v>
      </c>
      <c r="C10" s="8" t="n">
        <f aca="false">B10*12</f>
        <v>72</v>
      </c>
      <c r="D10" s="5" t="s">
        <v>86</v>
      </c>
      <c r="E10" s="2" t="s">
        <v>163</v>
      </c>
      <c r="F10" s="2" t="s">
        <v>173</v>
      </c>
    </row>
    <row r="11" customFormat="false" ht="15" hidden="false" customHeight="false" outlineLevel="0" collapsed="false">
      <c r="A11" s="4" t="s">
        <v>174</v>
      </c>
      <c r="B11" s="9" t="n">
        <v>0</v>
      </c>
      <c r="C11" s="9" t="n">
        <f aca="false">B11*12</f>
        <v>0</v>
      </c>
      <c r="D11" s="5" t="s">
        <v>34</v>
      </c>
      <c r="E11" s="4" t="s">
        <v>153</v>
      </c>
      <c r="F11" s="4" t="s">
        <v>175</v>
      </c>
    </row>
    <row r="12" customFormat="false" ht="15" hidden="false" customHeight="false" outlineLevel="0" collapsed="false">
      <c r="A12" s="10" t="s">
        <v>176</v>
      </c>
      <c r="B12" s="11" t="n">
        <f aca="false">SUM(B2:B11)</f>
        <v>871</v>
      </c>
      <c r="C12" s="11" t="n">
        <f aca="false">SUM(C2:C11)</f>
        <v>10452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3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177</v>
      </c>
      <c r="B1" s="1" t="s">
        <v>178</v>
      </c>
      <c r="C1" s="1" t="s">
        <v>179</v>
      </c>
      <c r="D1" s="1" t="s">
        <v>110</v>
      </c>
      <c r="E1" s="1" t="s">
        <v>180</v>
      </c>
      <c r="F1" s="1" t="s">
        <v>181</v>
      </c>
      <c r="G1" s="1" t="s">
        <v>182</v>
      </c>
    </row>
    <row r="2" customFormat="false" ht="15" hidden="false" customHeight="false" outlineLevel="0" collapsed="false">
      <c r="A2" s="2" t="s">
        <v>183</v>
      </c>
      <c r="B2" s="2" t="s">
        <v>184</v>
      </c>
      <c r="C2" s="8" t="n">
        <v>0</v>
      </c>
      <c r="D2" s="2" t="s">
        <v>185</v>
      </c>
      <c r="E2" s="8" t="n">
        <v>300</v>
      </c>
      <c r="F2" s="2" t="s">
        <v>186</v>
      </c>
      <c r="G2" s="7" t="s">
        <v>17</v>
      </c>
    </row>
    <row r="3" customFormat="false" ht="15" hidden="false" customHeight="false" outlineLevel="0" collapsed="false">
      <c r="A3" s="4" t="s">
        <v>187</v>
      </c>
      <c r="B3" s="4" t="s">
        <v>188</v>
      </c>
      <c r="C3" s="9" t="n">
        <v>0</v>
      </c>
      <c r="D3" s="4" t="s">
        <v>189</v>
      </c>
      <c r="E3" s="9" t="n">
        <v>200</v>
      </c>
      <c r="F3" s="4" t="s">
        <v>190</v>
      </c>
      <c r="G3" s="7" t="s">
        <v>17</v>
      </c>
    </row>
    <row r="4" customFormat="false" ht="15" hidden="false" customHeight="false" outlineLevel="0" collapsed="false">
      <c r="A4" s="2" t="s">
        <v>191</v>
      </c>
      <c r="B4" s="2" t="s">
        <v>192</v>
      </c>
      <c r="C4" s="8" t="n">
        <v>0</v>
      </c>
      <c r="D4" s="2" t="s">
        <v>193</v>
      </c>
      <c r="E4" s="8" t="n">
        <v>200</v>
      </c>
      <c r="F4" s="2" t="s">
        <v>194</v>
      </c>
      <c r="G4" s="6" t="s">
        <v>34</v>
      </c>
    </row>
    <row r="5" customFormat="false" ht="15" hidden="false" customHeight="false" outlineLevel="0" collapsed="false">
      <c r="A5" s="4" t="s">
        <v>195</v>
      </c>
      <c r="B5" s="4" t="s">
        <v>196</v>
      </c>
      <c r="C5" s="9" t="n">
        <v>0</v>
      </c>
      <c r="D5" s="4" t="s">
        <v>197</v>
      </c>
      <c r="E5" s="9" t="n">
        <v>500</v>
      </c>
      <c r="F5" s="4" t="s">
        <v>198</v>
      </c>
      <c r="G5" s="5" t="s">
        <v>199</v>
      </c>
    </row>
    <row r="6" customFormat="false" ht="23.85" hidden="false" customHeight="false" outlineLevel="0" collapsed="false">
      <c r="A6" s="2" t="s">
        <v>200</v>
      </c>
      <c r="B6" s="2" t="s">
        <v>201</v>
      </c>
      <c r="C6" s="8" t="n">
        <v>0</v>
      </c>
      <c r="D6" s="2" t="s">
        <v>202</v>
      </c>
      <c r="E6" s="8" t="n">
        <v>0</v>
      </c>
      <c r="F6" s="2" t="s">
        <v>203</v>
      </c>
      <c r="G6" s="7" t="s">
        <v>17</v>
      </c>
    </row>
    <row r="7" customFormat="false" ht="15" hidden="false" customHeight="false" outlineLevel="0" collapsed="false">
      <c r="A7" s="4" t="s">
        <v>204</v>
      </c>
      <c r="B7" s="4" t="s">
        <v>205</v>
      </c>
      <c r="C7" s="9" t="n">
        <v>0</v>
      </c>
      <c r="D7" s="4" t="s">
        <v>206</v>
      </c>
      <c r="E7" s="9" t="n">
        <v>100</v>
      </c>
      <c r="F7" s="4" t="s">
        <v>207</v>
      </c>
      <c r="G7" s="6" t="s">
        <v>34</v>
      </c>
    </row>
    <row r="8" customFormat="false" ht="15" hidden="false" customHeight="false" outlineLevel="0" collapsed="false">
      <c r="A8" s="2" t="s">
        <v>208</v>
      </c>
      <c r="B8" s="2" t="s">
        <v>209</v>
      </c>
      <c r="C8" s="8" t="n">
        <v>0</v>
      </c>
      <c r="D8" s="2" t="s">
        <v>210</v>
      </c>
      <c r="E8" s="8" t="n">
        <v>70</v>
      </c>
      <c r="F8" s="2" t="s">
        <v>211</v>
      </c>
      <c r="G8" s="5" t="s">
        <v>199</v>
      </c>
    </row>
    <row r="9" customFormat="false" ht="15" hidden="false" customHeight="false" outlineLevel="0" collapsed="false">
      <c r="A9" s="4" t="s">
        <v>212</v>
      </c>
      <c r="B9" s="4" t="s">
        <v>213</v>
      </c>
      <c r="C9" s="9" t="n">
        <v>0</v>
      </c>
      <c r="D9" s="4" t="s">
        <v>214</v>
      </c>
      <c r="E9" s="9" t="n">
        <v>0</v>
      </c>
      <c r="F9" s="4" t="s">
        <v>215</v>
      </c>
      <c r="G9" s="7" t="s">
        <v>152</v>
      </c>
    </row>
    <row r="10" customFormat="false" ht="15" hidden="false" customHeight="false" outlineLevel="0" collapsed="false">
      <c r="A10" s="2" t="s">
        <v>216</v>
      </c>
      <c r="B10" s="2" t="s">
        <v>217</v>
      </c>
      <c r="C10" s="8" t="n">
        <v>0</v>
      </c>
      <c r="D10" s="2" t="s">
        <v>218</v>
      </c>
      <c r="E10" s="8" t="n">
        <v>20</v>
      </c>
      <c r="F10" s="2" t="s">
        <v>219</v>
      </c>
      <c r="G10" s="5" t="s">
        <v>86</v>
      </c>
    </row>
    <row r="11" customFormat="false" ht="23.85" hidden="false" customHeight="false" outlineLevel="0" collapsed="false">
      <c r="A11" s="4" t="s">
        <v>220</v>
      </c>
      <c r="B11" s="4" t="s">
        <v>221</v>
      </c>
      <c r="C11" s="9" t="n">
        <v>0</v>
      </c>
      <c r="D11" s="4" t="s">
        <v>222</v>
      </c>
      <c r="E11" s="9" t="n">
        <v>50</v>
      </c>
      <c r="F11" s="4" t="s">
        <v>223</v>
      </c>
      <c r="G11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2026-04-13T13:12:19Z</dcterms:created>
  <dc:creator>openpyxl</dc:creator>
  <dc:description/>
  <dc:language>en-US</dc:language>
  <cp:lastModifiedBy/>
  <dcterms:modified xsi:type="dcterms:W3CDTF">2026-04-13T13:12:19Z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